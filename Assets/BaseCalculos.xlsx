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gos Unity\StoneJungleCityV2\StoneJungleCity\Assets\"/>
    </mc:Choice>
  </mc:AlternateContent>
  <xr:revisionPtr revIDLastSave="0" documentId="13_ncr:1_{9C370724-668C-4727-86FD-F98A42806334}" xr6:coauthVersionLast="47" xr6:coauthVersionMax="47" xr10:uidLastSave="{00000000-0000-0000-0000-000000000000}"/>
  <bookViews>
    <workbookView xWindow="2535" yWindow="0" windowWidth="18885" windowHeight="12585" activeTab="1" xr2:uid="{83CD1AD5-219E-4A39-8021-D8F43162BD44}"/>
  </bookViews>
  <sheets>
    <sheet name="Calculo Level por XP" sheetId="1" r:id="rId1"/>
    <sheet name="Valor Sl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2" l="1"/>
  <c r="J10" i="2" s="1"/>
  <c r="K5" i="2"/>
  <c r="K6" i="2" s="1"/>
  <c r="K9" i="2" s="1"/>
  <c r="K10" i="2" s="1"/>
  <c r="K11" i="2" s="1"/>
  <c r="K12" i="2" s="1"/>
  <c r="D4" i="2"/>
  <c r="D5" i="2" s="1"/>
  <c r="D6" i="2" s="1"/>
  <c r="D10" i="2" s="1"/>
  <c r="D14" i="2" s="1"/>
  <c r="D15" i="2" s="1"/>
  <c r="D16" i="2" s="1"/>
  <c r="D17" i="2" s="1"/>
  <c r="D18" i="2" s="1"/>
  <c r="D19" i="2" s="1"/>
  <c r="D20" i="2" s="1"/>
  <c r="C4" i="2"/>
  <c r="C5" i="2" s="1"/>
  <c r="C6" i="2" s="1"/>
  <c r="C7" i="2" s="1"/>
  <c r="C8" i="2" s="1"/>
  <c r="C12" i="2" s="1"/>
  <c r="C13" i="2" s="1"/>
  <c r="C14" i="2" s="1"/>
  <c r="C15" i="2" s="1"/>
  <c r="C16" i="2" s="1"/>
  <c r="C17" i="2" s="1"/>
  <c r="C18" i="2" s="1"/>
  <c r="C19" i="2" s="1"/>
  <c r="C20" i="2" s="1"/>
  <c r="B22" i="1"/>
  <c r="B4" i="1"/>
  <c r="B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3" i="1"/>
  <c r="B23" i="1" l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<sst xmlns="http://schemas.openxmlformats.org/spreadsheetml/2006/main" count="83" uniqueCount="55">
  <si>
    <t>Level</t>
  </si>
  <si>
    <t>XP</t>
  </si>
  <si>
    <t>Base de Cáculo até lvl 20 Valor mais 1,2</t>
  </si>
  <si>
    <t>Base de Cálculo até level 35, Valor mais 1,3</t>
  </si>
  <si>
    <t>Base Cálculo</t>
  </si>
  <si>
    <t>ID</t>
  </si>
  <si>
    <t>Name</t>
  </si>
  <si>
    <t>Valor</t>
  </si>
  <si>
    <t>Produção</t>
  </si>
  <si>
    <t>Prod Time</t>
  </si>
  <si>
    <t>Casa de família</t>
  </si>
  <si>
    <t>Casa Familiar</t>
  </si>
  <si>
    <t>Casa de Fazenda</t>
  </si>
  <si>
    <t>Casa do Lago</t>
  </si>
  <si>
    <t>Casa Duplex Luxo</t>
  </si>
  <si>
    <t>Casa da Montanha</t>
  </si>
  <si>
    <t>?</t>
  </si>
  <si>
    <t>Prefeitura</t>
  </si>
  <si>
    <t>Banco</t>
  </si>
  <si>
    <t>Livraria</t>
  </si>
  <si>
    <t>Policia</t>
  </si>
  <si>
    <t>Bombeiros</t>
  </si>
  <si>
    <t>Hospital</t>
  </si>
  <si>
    <t>Restaurante</t>
  </si>
  <si>
    <t>Administação</t>
  </si>
  <si>
    <t>Escola</t>
  </si>
  <si>
    <t>Express</t>
  </si>
  <si>
    <t>Barbearia</t>
  </si>
  <si>
    <t>Burguer</t>
  </si>
  <si>
    <t>Cafeteria</t>
  </si>
  <si>
    <t>Farmácia</t>
  </si>
  <si>
    <t>Mini Mercado</t>
  </si>
  <si>
    <t>Adminsitrativos 31 a 60</t>
  </si>
  <si>
    <t>Residencial 1 a 30</t>
  </si>
  <si>
    <t>Comerciais 61 a 90</t>
  </si>
  <si>
    <t>Monumentos e Praças 91 a 120</t>
  </si>
  <si>
    <t>Praça Simples</t>
  </si>
  <si>
    <t>Hotel LakeLux</t>
  </si>
  <si>
    <t>Casa Fazenda 2</t>
  </si>
  <si>
    <t>Casa Mountain 2</t>
  </si>
  <si>
    <t>Casa do Lago 2</t>
  </si>
  <si>
    <t>Casa Luxo 2</t>
  </si>
  <si>
    <t>Casa de Luxo do Lago</t>
  </si>
  <si>
    <t>Sorveteria</t>
  </si>
  <si>
    <t>Comercial Padrão</t>
  </si>
  <si>
    <t>Bolsa de Valores</t>
  </si>
  <si>
    <t>Posto de Gasolina</t>
  </si>
  <si>
    <t>Comercial Trade</t>
  </si>
  <si>
    <t>Contabil</t>
  </si>
  <si>
    <t>BoateLux</t>
  </si>
  <si>
    <t>Comercial Stone</t>
  </si>
  <si>
    <t>Emissora</t>
  </si>
  <si>
    <t>Hotel Stone</t>
  </si>
  <si>
    <t>Comercial Cosmético</t>
  </si>
  <si>
    <t>Estúdio Indie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</si>
</sst>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1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/>
    </xf>
    <xf numFmtId="1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1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43A4-27C6-497B-A988-1220CDE0A818}">
  <dimension ref="A1:C36"/>
  <sheetViews>
    <sheetView workbookViewId="0">
      <selection activeCell="B2" sqref="B2"/>
    </sheetView>
  </sheetViews>
  <sheetFormatPr defaultRowHeight="15" x14ac:dyDescent="0.25"/>
  <cols>
    <col min="2" max="2" width="20.5703125" bestFit="1" customWidth="1"/>
    <col min="3" max="3" width="33" customWidth="1"/>
  </cols>
  <sheetData>
    <row r="1" spans="1:3" x14ac:dyDescent="0.25">
      <c r="A1" s="4" t="s">
        <v>0</v>
      </c>
      <c r="B1" s="3" t="s">
        <v>1</v>
      </c>
      <c r="C1" s="3" t="s">
        <v>4</v>
      </c>
    </row>
    <row r="2" spans="1:3" x14ac:dyDescent="0.25">
      <c r="A2" s="4">
        <v>1</v>
      </c>
      <c r="B2" s="1">
        <v>60</v>
      </c>
      <c r="C2" s="31" t="s">
        <v>2</v>
      </c>
    </row>
    <row r="3" spans="1:3" x14ac:dyDescent="0.25">
      <c r="A3" s="4">
        <v>2</v>
      </c>
      <c r="B3" s="2">
        <f>B2*1.2</f>
        <v>72</v>
      </c>
      <c r="C3" s="31"/>
    </row>
    <row r="4" spans="1:3" x14ac:dyDescent="0.25">
      <c r="A4" s="4">
        <v>3</v>
      </c>
      <c r="B4" s="2">
        <f t="shared" ref="B4:B21" si="0">B3*1.2</f>
        <v>86.399999999999991</v>
      </c>
      <c r="C4" s="31"/>
    </row>
    <row r="5" spans="1:3" x14ac:dyDescent="0.25">
      <c r="A5" s="4">
        <v>4</v>
      </c>
      <c r="B5" s="2">
        <f t="shared" si="0"/>
        <v>103.67999999999999</v>
      </c>
      <c r="C5" s="31"/>
    </row>
    <row r="6" spans="1:3" x14ac:dyDescent="0.25">
      <c r="A6" s="4">
        <v>5</v>
      </c>
      <c r="B6" s="2">
        <f t="shared" si="0"/>
        <v>124.41599999999998</v>
      </c>
      <c r="C6" s="31"/>
    </row>
    <row r="7" spans="1:3" x14ac:dyDescent="0.25">
      <c r="A7" s="4">
        <v>6</v>
      </c>
      <c r="B7" s="2">
        <f t="shared" si="0"/>
        <v>149.29919999999998</v>
      </c>
      <c r="C7" s="31"/>
    </row>
    <row r="8" spans="1:3" x14ac:dyDescent="0.25">
      <c r="A8" s="4">
        <v>7</v>
      </c>
      <c r="B8" s="2">
        <f t="shared" si="0"/>
        <v>179.15903999999998</v>
      </c>
      <c r="C8" s="31"/>
    </row>
    <row r="9" spans="1:3" x14ac:dyDescent="0.25">
      <c r="A9" s="4">
        <v>8</v>
      </c>
      <c r="B9" s="2">
        <f t="shared" si="0"/>
        <v>214.99084799999997</v>
      </c>
      <c r="C9" s="31"/>
    </row>
    <row r="10" spans="1:3" x14ac:dyDescent="0.25">
      <c r="A10" s="4">
        <v>9</v>
      </c>
      <c r="B10" s="2">
        <f t="shared" si="0"/>
        <v>257.98901759999995</v>
      </c>
      <c r="C10" s="31"/>
    </row>
    <row r="11" spans="1:3" x14ac:dyDescent="0.25">
      <c r="A11" s="4">
        <v>10</v>
      </c>
      <c r="B11" s="2">
        <f t="shared" si="0"/>
        <v>309.58682111999991</v>
      </c>
      <c r="C11" s="31"/>
    </row>
    <row r="12" spans="1:3" x14ac:dyDescent="0.25">
      <c r="A12" s="4">
        <v>11</v>
      </c>
      <c r="B12" s="2">
        <f t="shared" si="0"/>
        <v>371.50418534399989</v>
      </c>
      <c r="C12" s="31"/>
    </row>
    <row r="13" spans="1:3" x14ac:dyDescent="0.25">
      <c r="A13" s="4">
        <v>12</v>
      </c>
      <c r="B13" s="2">
        <f t="shared" si="0"/>
        <v>445.80502241279987</v>
      </c>
      <c r="C13" s="31"/>
    </row>
    <row r="14" spans="1:3" x14ac:dyDescent="0.25">
      <c r="A14" s="4">
        <v>13</v>
      </c>
      <c r="B14" s="2">
        <f t="shared" si="0"/>
        <v>534.96602689535985</v>
      </c>
      <c r="C14" s="31"/>
    </row>
    <row r="15" spans="1:3" x14ac:dyDescent="0.25">
      <c r="A15" s="4">
        <v>14</v>
      </c>
      <c r="B15" s="2">
        <f t="shared" si="0"/>
        <v>641.95923227443177</v>
      </c>
      <c r="C15" s="31"/>
    </row>
    <row r="16" spans="1:3" x14ac:dyDescent="0.25">
      <c r="A16" s="4">
        <v>15</v>
      </c>
      <c r="B16" s="2">
        <f t="shared" si="0"/>
        <v>770.35107872931815</v>
      </c>
      <c r="C16" s="31"/>
    </row>
    <row r="17" spans="1:3" x14ac:dyDescent="0.25">
      <c r="A17" s="4">
        <v>16</v>
      </c>
      <c r="B17" s="2">
        <f t="shared" si="0"/>
        <v>924.42129447518175</v>
      </c>
      <c r="C17" s="31"/>
    </row>
    <row r="18" spans="1:3" x14ac:dyDescent="0.25">
      <c r="A18" s="4">
        <v>17</v>
      </c>
      <c r="B18" s="2">
        <f t="shared" si="0"/>
        <v>1109.3055533702181</v>
      </c>
      <c r="C18" s="31"/>
    </row>
    <row r="19" spans="1:3" x14ac:dyDescent="0.25">
      <c r="A19" s="4">
        <v>18</v>
      </c>
      <c r="B19" s="2">
        <f t="shared" si="0"/>
        <v>1331.1666640442618</v>
      </c>
      <c r="C19" s="31"/>
    </row>
    <row r="20" spans="1:3" x14ac:dyDescent="0.25">
      <c r="A20" s="4">
        <v>19</v>
      </c>
      <c r="B20" s="2">
        <f t="shared" si="0"/>
        <v>1597.3999968531141</v>
      </c>
      <c r="C20" s="31"/>
    </row>
    <row r="21" spans="1:3" x14ac:dyDescent="0.25">
      <c r="A21" s="4">
        <v>20</v>
      </c>
      <c r="B21" s="2">
        <f t="shared" si="0"/>
        <v>1916.8799962237367</v>
      </c>
      <c r="C21" s="31"/>
    </row>
    <row r="22" spans="1:3" x14ac:dyDescent="0.25">
      <c r="A22" s="4">
        <v>21</v>
      </c>
      <c r="B22" s="2">
        <f>B21*1.3</f>
        <v>2491.9439950908577</v>
      </c>
      <c r="C22" s="31" t="s">
        <v>3</v>
      </c>
    </row>
    <row r="23" spans="1:3" x14ac:dyDescent="0.25">
      <c r="A23" s="4">
        <v>22</v>
      </c>
      <c r="B23" s="2">
        <f t="shared" ref="B23:B36" si="1">B22*1.5</f>
        <v>3737.9159926362863</v>
      </c>
      <c r="C23" s="31"/>
    </row>
    <row r="24" spans="1:3" x14ac:dyDescent="0.25">
      <c r="A24" s="4">
        <v>23</v>
      </c>
      <c r="B24" s="2">
        <f t="shared" si="1"/>
        <v>5606.8739889544295</v>
      </c>
      <c r="C24" s="31"/>
    </row>
    <row r="25" spans="1:3" x14ac:dyDescent="0.25">
      <c r="A25" s="4">
        <v>24</v>
      </c>
      <c r="B25" s="2">
        <f t="shared" si="1"/>
        <v>8410.3109834316438</v>
      </c>
      <c r="C25" s="31"/>
    </row>
    <row r="26" spans="1:3" x14ac:dyDescent="0.25">
      <c r="A26" s="4">
        <v>25</v>
      </c>
      <c r="B26" s="2">
        <f t="shared" si="1"/>
        <v>12615.466475147467</v>
      </c>
      <c r="C26" s="31"/>
    </row>
    <row r="27" spans="1:3" x14ac:dyDescent="0.25">
      <c r="A27" s="4">
        <v>26</v>
      </c>
      <c r="B27" s="2">
        <f t="shared" si="1"/>
        <v>18923.199712721202</v>
      </c>
      <c r="C27" s="31"/>
    </row>
    <row r="28" spans="1:3" x14ac:dyDescent="0.25">
      <c r="A28" s="4">
        <v>27</v>
      </c>
      <c r="B28" s="2">
        <f t="shared" si="1"/>
        <v>28384.799569081802</v>
      </c>
      <c r="C28" s="31"/>
    </row>
    <row r="29" spans="1:3" x14ac:dyDescent="0.25">
      <c r="A29" s="4">
        <v>28</v>
      </c>
      <c r="B29" s="2">
        <f t="shared" si="1"/>
        <v>42577.199353622702</v>
      </c>
      <c r="C29" s="31"/>
    </row>
    <row r="30" spans="1:3" x14ac:dyDescent="0.25">
      <c r="A30" s="4">
        <v>29</v>
      </c>
      <c r="B30" s="2">
        <f t="shared" si="1"/>
        <v>63865.799030434049</v>
      </c>
      <c r="C30" s="31"/>
    </row>
    <row r="31" spans="1:3" x14ac:dyDescent="0.25">
      <c r="A31" s="4">
        <v>30</v>
      </c>
      <c r="B31" s="2">
        <f t="shared" si="1"/>
        <v>95798.698545651074</v>
      </c>
      <c r="C31" s="31"/>
    </row>
    <row r="32" spans="1:3" x14ac:dyDescent="0.25">
      <c r="A32" s="4">
        <v>31</v>
      </c>
      <c r="B32" s="2">
        <f t="shared" si="1"/>
        <v>143698.04781847663</v>
      </c>
      <c r="C32" s="31"/>
    </row>
    <row r="33" spans="1:3" x14ac:dyDescent="0.25">
      <c r="A33" s="4">
        <v>32</v>
      </c>
      <c r="B33" s="2">
        <f t="shared" si="1"/>
        <v>215547.07172771494</v>
      </c>
      <c r="C33" s="31"/>
    </row>
    <row r="34" spans="1:3" x14ac:dyDescent="0.25">
      <c r="A34" s="4">
        <v>33</v>
      </c>
      <c r="B34" s="2">
        <f t="shared" si="1"/>
        <v>323320.60759157239</v>
      </c>
      <c r="C34" s="31"/>
    </row>
    <row r="35" spans="1:3" x14ac:dyDescent="0.25">
      <c r="A35" s="4">
        <v>34</v>
      </c>
      <c r="B35" s="2">
        <f t="shared" si="1"/>
        <v>484980.91138735856</v>
      </c>
      <c r="C35" s="31"/>
    </row>
    <row r="36" spans="1:3" x14ac:dyDescent="0.25">
      <c r="A36" s="4">
        <v>35</v>
      </c>
      <c r="B36" s="2">
        <f t="shared" si="1"/>
        <v>727471.36708103784</v>
      </c>
      <c r="C36" s="31"/>
    </row>
  </sheetData>
  <mergeCells count="2">
    <mergeCell ref="C2:C21"/>
    <mergeCell ref="C22:C36"/>
  </mergeCells>
  <conditionalFormatting sqref="B2:B3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{5BDB624E-1EF1-45C4-AEF5-B8BCE516A2AA}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DB624E-1EF1-45C4-AEF5-B8BCE516A2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9586-0C0B-4140-93D4-3BF2EBFC0FC3}">
  <dimension ref="A1:Z20"/>
  <sheetViews>
    <sheetView tabSelected="1" topLeftCell="H1" workbookViewId="0">
      <selection activeCell="S20" sqref="S20"/>
    </sheetView>
  </sheetViews>
  <sheetFormatPr defaultRowHeight="15" x14ac:dyDescent="0.25"/>
  <cols>
    <col min="2" max="2" width="19.7109375" bestFit="1" customWidth="1"/>
    <col min="5" max="5" width="10" bestFit="1" customWidth="1"/>
    <col min="9" max="9" width="17.42578125" bestFit="1" customWidth="1"/>
    <col min="10" max="10" width="9.5703125" bestFit="1" customWidth="1"/>
    <col min="16" max="16" width="19.85546875" bestFit="1" customWidth="1"/>
    <col min="23" max="23" width="13.5703125" bestFit="1" customWidth="1"/>
  </cols>
  <sheetData>
    <row r="1" spans="1:26" x14ac:dyDescent="0.25">
      <c r="A1" s="32" t="s">
        <v>33</v>
      </c>
      <c r="B1" s="32"/>
      <c r="C1" s="32"/>
      <c r="D1" s="32"/>
      <c r="E1" s="32"/>
      <c r="H1" s="33" t="s">
        <v>32</v>
      </c>
      <c r="I1" s="33"/>
      <c r="J1" s="33"/>
      <c r="K1" s="33"/>
      <c r="L1" s="33"/>
      <c r="O1" s="34" t="s">
        <v>34</v>
      </c>
      <c r="P1" s="34"/>
      <c r="Q1" s="34"/>
      <c r="R1" s="34"/>
      <c r="S1" s="34"/>
      <c r="V1" s="35" t="s">
        <v>35</v>
      </c>
      <c r="W1" s="35"/>
      <c r="X1" s="35"/>
      <c r="Y1" s="35"/>
      <c r="Z1" s="35"/>
    </row>
    <row r="2" spans="1:26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O2" s="16" t="s">
        <v>5</v>
      </c>
      <c r="P2" s="16" t="s">
        <v>6</v>
      </c>
      <c r="Q2" s="16" t="s">
        <v>7</v>
      </c>
      <c r="R2" s="16" t="s">
        <v>8</v>
      </c>
      <c r="S2" s="16" t="s">
        <v>9</v>
      </c>
      <c r="V2" s="22" t="s">
        <v>5</v>
      </c>
      <c r="W2" s="22" t="s">
        <v>6</v>
      </c>
      <c r="X2" s="22" t="s">
        <v>7</v>
      </c>
      <c r="Y2" s="22" t="s">
        <v>8</v>
      </c>
      <c r="Z2" s="22" t="s">
        <v>9</v>
      </c>
    </row>
    <row r="3" spans="1:26" x14ac:dyDescent="0.25">
      <c r="A3" s="6">
        <v>1</v>
      </c>
      <c r="B3" s="7" t="s">
        <v>10</v>
      </c>
      <c r="C3" s="8">
        <v>10</v>
      </c>
      <c r="D3" s="9">
        <v>5</v>
      </c>
      <c r="E3" s="8">
        <v>3</v>
      </c>
      <c r="H3" s="11">
        <v>0</v>
      </c>
      <c r="I3" s="12" t="s">
        <v>17</v>
      </c>
      <c r="J3" s="13">
        <v>0</v>
      </c>
      <c r="K3" s="14">
        <v>2</v>
      </c>
      <c r="L3" s="13">
        <v>3</v>
      </c>
      <c r="O3" s="17">
        <v>61</v>
      </c>
      <c r="P3" s="18" t="s">
        <v>27</v>
      </c>
      <c r="Q3" s="19">
        <v>180</v>
      </c>
      <c r="R3" s="20">
        <v>15</v>
      </c>
      <c r="S3" s="19">
        <v>1</v>
      </c>
      <c r="V3" s="23">
        <v>91</v>
      </c>
      <c r="W3" s="24" t="s">
        <v>36</v>
      </c>
      <c r="X3" s="25">
        <v>230</v>
      </c>
      <c r="Y3" s="26">
        <v>0</v>
      </c>
      <c r="Z3" s="25">
        <v>0</v>
      </c>
    </row>
    <row r="4" spans="1:26" x14ac:dyDescent="0.25">
      <c r="A4" s="6">
        <v>2</v>
      </c>
      <c r="B4" s="7" t="s">
        <v>11</v>
      </c>
      <c r="C4" s="8">
        <f>C3*2</f>
        <v>20</v>
      </c>
      <c r="D4" s="9">
        <f>D3+(D3*15%)</f>
        <v>5.75</v>
      </c>
      <c r="E4" s="8">
        <v>3</v>
      </c>
      <c r="H4" s="11">
        <v>31</v>
      </c>
      <c r="I4" s="12" t="s">
        <v>18</v>
      </c>
      <c r="J4" s="13">
        <v>300</v>
      </c>
      <c r="K4" s="14">
        <v>80</v>
      </c>
      <c r="L4" s="13">
        <v>12</v>
      </c>
      <c r="O4" s="17">
        <v>62</v>
      </c>
      <c r="P4" s="18" t="s">
        <v>28</v>
      </c>
      <c r="Q4" s="19">
        <v>360</v>
      </c>
      <c r="R4" s="20">
        <v>60</v>
      </c>
      <c r="S4" s="19">
        <v>2</v>
      </c>
      <c r="V4" s="23">
        <v>92</v>
      </c>
      <c r="W4" s="24"/>
      <c r="X4" s="25"/>
      <c r="Y4" s="26"/>
      <c r="Z4" s="25"/>
    </row>
    <row r="5" spans="1:26" x14ac:dyDescent="0.25">
      <c r="A5" s="6">
        <v>3</v>
      </c>
      <c r="B5" s="7" t="s">
        <v>12</v>
      </c>
      <c r="C5" s="8">
        <f t="shared" ref="C5:C20" si="0">C4*2</f>
        <v>40</v>
      </c>
      <c r="D5" s="9">
        <f t="shared" ref="D5:D20" si="1">D4+(D4*15%)</f>
        <v>6.6124999999999998</v>
      </c>
      <c r="E5" s="8">
        <v>3</v>
      </c>
      <c r="H5" s="11">
        <v>32</v>
      </c>
      <c r="I5" s="12" t="s">
        <v>19</v>
      </c>
      <c r="J5" s="14">
        <f>J4+(J4*60%)</f>
        <v>480</v>
      </c>
      <c r="K5" s="14">
        <f t="shared" ref="K5:K12" si="2">K4+(K4*15%)</f>
        <v>92</v>
      </c>
      <c r="L5" s="13">
        <v>10</v>
      </c>
      <c r="O5" s="17">
        <v>63</v>
      </c>
      <c r="P5" s="18" t="s">
        <v>29</v>
      </c>
      <c r="Q5" s="20">
        <v>580</v>
      </c>
      <c r="R5" s="20">
        <v>70</v>
      </c>
      <c r="S5" s="19">
        <v>1</v>
      </c>
      <c r="V5" s="23">
        <v>93</v>
      </c>
      <c r="W5" s="24"/>
      <c r="X5" s="26"/>
      <c r="Y5" s="26"/>
      <c r="Z5" s="25"/>
    </row>
    <row r="6" spans="1:26" x14ac:dyDescent="0.25">
      <c r="A6" s="6">
        <v>4</v>
      </c>
      <c r="B6" s="7" t="s">
        <v>15</v>
      </c>
      <c r="C6" s="8">
        <f t="shared" si="0"/>
        <v>80</v>
      </c>
      <c r="D6" s="9">
        <f t="shared" si="1"/>
        <v>7.6043750000000001</v>
      </c>
      <c r="E6" s="8">
        <v>3</v>
      </c>
      <c r="H6" s="11">
        <v>33</v>
      </c>
      <c r="I6" s="12" t="s">
        <v>20</v>
      </c>
      <c r="J6" s="14">
        <v>560</v>
      </c>
      <c r="K6" s="14">
        <f t="shared" si="2"/>
        <v>105.8</v>
      </c>
      <c r="L6" s="13">
        <v>12</v>
      </c>
      <c r="O6" s="17">
        <v>64</v>
      </c>
      <c r="P6" s="18" t="s">
        <v>30</v>
      </c>
      <c r="Q6" s="20">
        <v>560</v>
      </c>
      <c r="R6" s="20">
        <v>90</v>
      </c>
      <c r="S6" s="19">
        <v>2</v>
      </c>
      <c r="V6" s="23">
        <v>94</v>
      </c>
      <c r="W6" s="24"/>
      <c r="X6" s="26"/>
      <c r="Y6" s="26"/>
      <c r="Z6" s="25"/>
    </row>
    <row r="7" spans="1:26" x14ac:dyDescent="0.25">
      <c r="A7" s="6">
        <v>5</v>
      </c>
      <c r="B7" s="7" t="s">
        <v>13</v>
      </c>
      <c r="C7" s="8">
        <f t="shared" si="0"/>
        <v>160</v>
      </c>
      <c r="D7" s="9">
        <v>15</v>
      </c>
      <c r="E7" s="8">
        <v>5</v>
      </c>
      <c r="H7" s="11">
        <v>34</v>
      </c>
      <c r="I7" s="12" t="s">
        <v>21</v>
      </c>
      <c r="J7" s="14">
        <v>500</v>
      </c>
      <c r="K7" s="14">
        <v>180</v>
      </c>
      <c r="L7" s="13">
        <v>12</v>
      </c>
      <c r="O7" s="17">
        <v>65</v>
      </c>
      <c r="P7" s="18" t="s">
        <v>31</v>
      </c>
      <c r="Q7" s="20">
        <v>1200</v>
      </c>
      <c r="R7" s="20">
        <v>160</v>
      </c>
      <c r="S7" s="19">
        <v>3</v>
      </c>
      <c r="V7" s="23">
        <v>95</v>
      </c>
      <c r="W7" s="24"/>
      <c r="X7" s="26"/>
      <c r="Y7" s="26"/>
      <c r="Z7" s="25"/>
    </row>
    <row r="8" spans="1:26" x14ac:dyDescent="0.25">
      <c r="A8" s="6">
        <v>6</v>
      </c>
      <c r="B8" s="7" t="s">
        <v>14</v>
      </c>
      <c r="C8" s="8">
        <f t="shared" si="0"/>
        <v>320</v>
      </c>
      <c r="D8" s="9">
        <v>30</v>
      </c>
      <c r="E8" s="8">
        <v>10</v>
      </c>
      <c r="H8" s="11">
        <v>35</v>
      </c>
      <c r="I8" s="12" t="s">
        <v>22</v>
      </c>
      <c r="J8" s="14">
        <v>1200</v>
      </c>
      <c r="K8" s="14">
        <v>240</v>
      </c>
      <c r="L8" s="13">
        <v>16</v>
      </c>
      <c r="O8" s="17">
        <v>66</v>
      </c>
      <c r="P8" s="18" t="s">
        <v>37</v>
      </c>
      <c r="Q8" s="20">
        <v>1800</v>
      </c>
      <c r="R8" s="20">
        <v>280</v>
      </c>
      <c r="S8" s="19">
        <v>5</v>
      </c>
      <c r="V8" s="23">
        <v>96</v>
      </c>
      <c r="W8" s="24"/>
      <c r="X8" s="26"/>
      <c r="Y8" s="26"/>
      <c r="Z8" s="25"/>
    </row>
    <row r="9" spans="1:26" x14ac:dyDescent="0.25">
      <c r="A9" s="6">
        <v>7</v>
      </c>
      <c r="B9" s="6" t="s">
        <v>38</v>
      </c>
      <c r="C9" s="8">
        <v>40</v>
      </c>
      <c r="D9" s="9">
        <v>7</v>
      </c>
      <c r="E9" s="28">
        <v>3</v>
      </c>
      <c r="H9" s="11">
        <v>36</v>
      </c>
      <c r="I9" s="11" t="s">
        <v>23</v>
      </c>
      <c r="J9" s="14">
        <v>1500</v>
      </c>
      <c r="K9" s="14">
        <f t="shared" si="2"/>
        <v>276</v>
      </c>
      <c r="L9" s="15">
        <v>8</v>
      </c>
      <c r="O9" s="17">
        <v>67</v>
      </c>
      <c r="P9" s="17" t="s">
        <v>43</v>
      </c>
      <c r="Q9" s="20">
        <v>360</v>
      </c>
      <c r="R9" s="20">
        <v>60</v>
      </c>
      <c r="S9" s="21">
        <v>2</v>
      </c>
      <c r="V9" s="23">
        <v>97</v>
      </c>
      <c r="W9" s="23"/>
      <c r="X9" s="26"/>
      <c r="Y9" s="26"/>
      <c r="Z9" s="27"/>
    </row>
    <row r="10" spans="1:26" x14ac:dyDescent="0.25">
      <c r="A10" s="6">
        <v>8</v>
      </c>
      <c r="B10" s="6" t="s">
        <v>39</v>
      </c>
      <c r="C10" s="8">
        <v>80</v>
      </c>
      <c r="D10" s="9">
        <f t="shared" si="1"/>
        <v>8.0500000000000007</v>
      </c>
      <c r="E10" s="28">
        <v>3</v>
      </c>
      <c r="H10" s="11">
        <v>37</v>
      </c>
      <c r="I10" s="11" t="s">
        <v>24</v>
      </c>
      <c r="J10" s="14">
        <f t="shared" ref="J10" si="3">J9+(J9*60%)</f>
        <v>2400</v>
      </c>
      <c r="K10" s="14">
        <f t="shared" si="2"/>
        <v>317.39999999999998</v>
      </c>
      <c r="L10" s="15">
        <v>14</v>
      </c>
      <c r="O10" s="17">
        <v>68</v>
      </c>
      <c r="P10" s="17" t="s">
        <v>44</v>
      </c>
      <c r="Q10" s="20">
        <v>2800</v>
      </c>
      <c r="R10" s="29">
        <v>520</v>
      </c>
      <c r="S10" s="21">
        <v>10</v>
      </c>
      <c r="V10" s="23">
        <v>98</v>
      </c>
      <c r="W10" s="23"/>
      <c r="X10" s="26"/>
      <c r="Y10" s="26"/>
      <c r="Z10" s="27"/>
    </row>
    <row r="11" spans="1:26" x14ac:dyDescent="0.25">
      <c r="A11" s="6">
        <v>9</v>
      </c>
      <c r="B11" s="6" t="s">
        <v>40</v>
      </c>
      <c r="C11" s="8">
        <v>160</v>
      </c>
      <c r="D11" s="9">
        <v>15</v>
      </c>
      <c r="E11" s="28">
        <v>5</v>
      </c>
      <c r="H11" s="11">
        <v>38</v>
      </c>
      <c r="I11" s="11" t="s">
        <v>25</v>
      </c>
      <c r="J11" s="14">
        <v>800</v>
      </c>
      <c r="K11" s="14">
        <f t="shared" si="2"/>
        <v>365.01</v>
      </c>
      <c r="L11" s="15">
        <v>12</v>
      </c>
      <c r="O11" s="17">
        <v>69</v>
      </c>
      <c r="P11" s="17" t="s">
        <v>45</v>
      </c>
      <c r="Q11" s="20">
        <v>4500</v>
      </c>
      <c r="R11" s="20">
        <v>800</v>
      </c>
      <c r="S11" s="21">
        <v>15</v>
      </c>
      <c r="V11" s="23">
        <v>99</v>
      </c>
      <c r="W11" s="23"/>
      <c r="X11" s="26"/>
      <c r="Y11" s="26"/>
      <c r="Z11" s="27"/>
    </row>
    <row r="12" spans="1:26" x14ac:dyDescent="0.25">
      <c r="A12" s="6">
        <v>10</v>
      </c>
      <c r="B12" s="6" t="s">
        <v>41</v>
      </c>
      <c r="C12" s="8">
        <f t="shared" si="0"/>
        <v>320</v>
      </c>
      <c r="D12" s="9">
        <v>30</v>
      </c>
      <c r="E12" s="28">
        <v>10</v>
      </c>
      <c r="H12" s="11">
        <v>39</v>
      </c>
      <c r="I12" s="11" t="s">
        <v>26</v>
      </c>
      <c r="J12" s="14">
        <v>1000</v>
      </c>
      <c r="K12" s="14">
        <f t="shared" si="2"/>
        <v>419.76150000000001</v>
      </c>
      <c r="L12" s="15">
        <v>14</v>
      </c>
      <c r="O12" s="17">
        <v>70</v>
      </c>
      <c r="P12" s="17" t="s">
        <v>46</v>
      </c>
      <c r="Q12" s="20">
        <v>10500</v>
      </c>
      <c r="R12" s="20">
        <v>1800</v>
      </c>
      <c r="S12" s="21">
        <v>18</v>
      </c>
      <c r="V12" s="23">
        <v>100</v>
      </c>
      <c r="W12" s="23"/>
      <c r="X12" s="26"/>
      <c r="Y12" s="26"/>
      <c r="Z12" s="27"/>
    </row>
    <row r="13" spans="1:26" x14ac:dyDescent="0.25">
      <c r="A13" s="6">
        <v>11</v>
      </c>
      <c r="B13" s="6" t="s">
        <v>42</v>
      </c>
      <c r="C13" s="8">
        <f t="shared" si="0"/>
        <v>640</v>
      </c>
      <c r="D13" s="9">
        <v>125</v>
      </c>
      <c r="E13" s="28">
        <v>6</v>
      </c>
      <c r="H13" s="11">
        <v>40</v>
      </c>
      <c r="I13" s="11"/>
      <c r="J13" s="14"/>
      <c r="K13" s="14"/>
      <c r="L13" s="15"/>
      <c r="O13" s="17">
        <v>71</v>
      </c>
      <c r="P13" s="17" t="s">
        <v>47</v>
      </c>
      <c r="Q13" s="20">
        <v>8600</v>
      </c>
      <c r="R13" s="20">
        <v>780</v>
      </c>
      <c r="S13" s="21">
        <v>10</v>
      </c>
      <c r="V13" s="23">
        <v>101</v>
      </c>
      <c r="W13" s="23"/>
      <c r="X13" s="26"/>
      <c r="Y13" s="26"/>
      <c r="Z13" s="27"/>
    </row>
    <row r="14" spans="1:26" x14ac:dyDescent="0.25">
      <c r="A14" s="6">
        <v>12</v>
      </c>
      <c r="B14" s="6" t="s">
        <v>16</v>
      </c>
      <c r="C14" s="8">
        <f t="shared" si="0"/>
        <v>1280</v>
      </c>
      <c r="D14" s="9">
        <f t="shared" si="1"/>
        <v>143.75</v>
      </c>
      <c r="E14" s="28" t="s">
        <v>16</v>
      </c>
      <c r="H14" s="11">
        <v>41</v>
      </c>
      <c r="I14" s="11"/>
      <c r="J14" s="14"/>
      <c r="K14" s="14"/>
      <c r="L14" s="15"/>
      <c r="O14" s="17">
        <v>72</v>
      </c>
      <c r="P14" s="17" t="s">
        <v>48</v>
      </c>
      <c r="Q14" s="20">
        <v>4600</v>
      </c>
      <c r="R14" s="20">
        <v>520</v>
      </c>
      <c r="S14" s="21">
        <v>8</v>
      </c>
      <c r="V14" s="23">
        <v>102</v>
      </c>
      <c r="W14" s="23"/>
      <c r="X14" s="26"/>
      <c r="Y14" s="26"/>
      <c r="Z14" s="27"/>
    </row>
    <row r="15" spans="1:26" x14ac:dyDescent="0.25">
      <c r="A15" s="6">
        <v>13</v>
      </c>
      <c r="B15" s="6" t="s">
        <v>16</v>
      </c>
      <c r="C15" s="8">
        <f t="shared" si="0"/>
        <v>2560</v>
      </c>
      <c r="D15" s="9">
        <f t="shared" si="1"/>
        <v>165.3125</v>
      </c>
      <c r="E15" s="28" t="s">
        <v>16</v>
      </c>
      <c r="H15" s="11">
        <v>42</v>
      </c>
      <c r="I15" s="11"/>
      <c r="J15" s="14"/>
      <c r="K15" s="14"/>
      <c r="L15" s="15"/>
      <c r="O15" s="17">
        <v>73</v>
      </c>
      <c r="P15" s="17" t="s">
        <v>49</v>
      </c>
      <c r="Q15" s="20">
        <v>16500</v>
      </c>
      <c r="R15" s="20">
        <v>1920</v>
      </c>
      <c r="S15" s="21">
        <v>14</v>
      </c>
      <c r="V15" s="23">
        <v>103</v>
      </c>
      <c r="W15" s="23"/>
      <c r="X15" s="26"/>
      <c r="Y15" s="26"/>
      <c r="Z15" s="27"/>
    </row>
    <row r="16" spans="1:26" x14ac:dyDescent="0.25">
      <c r="A16" s="6">
        <v>14</v>
      </c>
      <c r="B16" s="6" t="s">
        <v>16</v>
      </c>
      <c r="C16" s="8">
        <f t="shared" si="0"/>
        <v>5120</v>
      </c>
      <c r="D16" s="9">
        <f t="shared" si="1"/>
        <v>190.109375</v>
      </c>
      <c r="E16" s="28" t="s">
        <v>16</v>
      </c>
      <c r="H16" s="11">
        <v>43</v>
      </c>
      <c r="I16" s="11"/>
      <c r="J16" s="14"/>
      <c r="K16" s="14"/>
      <c r="L16" s="15"/>
      <c r="O16" s="17">
        <v>74</v>
      </c>
      <c r="P16" s="17" t="s">
        <v>50</v>
      </c>
      <c r="Q16" s="20">
        <v>9600</v>
      </c>
      <c r="R16" s="20">
        <v>1110</v>
      </c>
      <c r="S16" s="21">
        <v>14</v>
      </c>
      <c r="V16" s="23">
        <v>104</v>
      </c>
      <c r="W16" s="23"/>
      <c r="X16" s="26"/>
      <c r="Y16" s="26"/>
      <c r="Z16" s="27"/>
    </row>
    <row r="17" spans="1:26" x14ac:dyDescent="0.25">
      <c r="A17" s="6">
        <v>15</v>
      </c>
      <c r="B17" s="6" t="s">
        <v>16</v>
      </c>
      <c r="C17" s="8">
        <f t="shared" si="0"/>
        <v>10240</v>
      </c>
      <c r="D17" s="9">
        <f t="shared" si="1"/>
        <v>218.62578124999999</v>
      </c>
      <c r="E17" s="28" t="s">
        <v>16</v>
      </c>
      <c r="H17" s="11">
        <v>44</v>
      </c>
      <c r="I17" s="11"/>
      <c r="J17" s="14"/>
      <c r="K17" s="14"/>
      <c r="L17" s="15"/>
      <c r="O17" s="17">
        <v>75</v>
      </c>
      <c r="P17" s="17" t="s">
        <v>51</v>
      </c>
      <c r="Q17" s="20">
        <v>16800</v>
      </c>
      <c r="R17" s="20">
        <v>2100</v>
      </c>
      <c r="S17" s="21">
        <v>18</v>
      </c>
      <c r="V17" s="23">
        <v>105</v>
      </c>
      <c r="W17" s="23"/>
      <c r="X17" s="26"/>
      <c r="Y17" s="26"/>
      <c r="Z17" s="27"/>
    </row>
    <row r="18" spans="1:26" x14ac:dyDescent="0.25">
      <c r="A18" s="6">
        <v>16</v>
      </c>
      <c r="B18" s="6" t="s">
        <v>16</v>
      </c>
      <c r="C18" s="8">
        <f t="shared" si="0"/>
        <v>20480</v>
      </c>
      <c r="D18" s="9">
        <f t="shared" si="1"/>
        <v>251.41964843749997</v>
      </c>
      <c r="E18" s="28" t="s">
        <v>16</v>
      </c>
      <c r="H18" s="11">
        <v>45</v>
      </c>
      <c r="I18" s="11"/>
      <c r="J18" s="14"/>
      <c r="K18" s="14"/>
      <c r="L18" s="15"/>
      <c r="O18" s="17">
        <v>76</v>
      </c>
      <c r="P18" s="17" t="s">
        <v>52</v>
      </c>
      <c r="Q18" s="20">
        <v>12500</v>
      </c>
      <c r="R18" s="20">
        <v>1280</v>
      </c>
      <c r="S18" s="30">
        <v>16</v>
      </c>
      <c r="V18" s="23">
        <v>106</v>
      </c>
      <c r="W18" s="23"/>
      <c r="X18" s="26"/>
      <c r="Y18" s="26"/>
      <c r="Z18" s="27"/>
    </row>
    <row r="19" spans="1:26" x14ac:dyDescent="0.25">
      <c r="A19" s="6">
        <v>17</v>
      </c>
      <c r="B19" s="6" t="s">
        <v>16</v>
      </c>
      <c r="C19" s="8">
        <f t="shared" si="0"/>
        <v>40960</v>
      </c>
      <c r="D19" s="9">
        <f t="shared" si="1"/>
        <v>289.13259570312499</v>
      </c>
      <c r="E19" s="28" t="s">
        <v>16</v>
      </c>
      <c r="H19" s="11">
        <v>46</v>
      </c>
      <c r="I19" s="11"/>
      <c r="J19" s="14"/>
      <c r="K19" s="14"/>
      <c r="L19" s="15"/>
      <c r="O19" s="17">
        <v>77</v>
      </c>
      <c r="P19" s="17" t="s">
        <v>53</v>
      </c>
      <c r="Q19" s="20">
        <v>9400</v>
      </c>
      <c r="R19" s="20">
        <v>980</v>
      </c>
      <c r="S19" s="21">
        <v>10</v>
      </c>
      <c r="V19" s="23">
        <v>107</v>
      </c>
      <c r="W19" s="23"/>
      <c r="X19" s="26"/>
      <c r="Y19" s="26"/>
      <c r="Z19" s="27"/>
    </row>
    <row r="20" spans="1:26" x14ac:dyDescent="0.25">
      <c r="A20" s="6">
        <v>18</v>
      </c>
      <c r="B20" s="6" t="s">
        <v>16</v>
      </c>
      <c r="C20" s="8">
        <f t="shared" si="0"/>
        <v>81920</v>
      </c>
      <c r="D20" s="9">
        <f t="shared" si="1"/>
        <v>332.50248505859372</v>
      </c>
      <c r="E20" s="28" t="s">
        <v>16</v>
      </c>
      <c r="H20" s="11">
        <v>47</v>
      </c>
      <c r="I20" s="11"/>
      <c r="J20" s="14"/>
      <c r="K20" s="14"/>
      <c r="L20" s="15"/>
      <c r="O20" s="17">
        <v>78</v>
      </c>
      <c r="P20" s="17" t="s">
        <v>54</v>
      </c>
      <c r="Q20" s="20">
        <v>16000</v>
      </c>
      <c r="R20" s="20">
        <v>3500</v>
      </c>
      <c r="S20" s="21">
        <v>16</v>
      </c>
      <c r="V20" s="23">
        <v>108</v>
      </c>
      <c r="W20" s="23"/>
      <c r="X20" s="26"/>
      <c r="Y20" s="26"/>
      <c r="Z20" s="27"/>
    </row>
  </sheetData>
  <mergeCells count="4">
    <mergeCell ref="A1:E1"/>
    <mergeCell ref="H1:L1"/>
    <mergeCell ref="O1:S1"/>
    <mergeCell ref="V1:Z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Calculo Level por XP</vt:lpstr>
      <vt:lpstr>Valor 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Luiz</dc:creator>
  <cp:lastModifiedBy>André Luiz</cp:lastModifiedBy>
  <dcterms:created xsi:type="dcterms:W3CDTF">2022-03-27T20:42:37Z</dcterms:created>
  <dcterms:modified xsi:type="dcterms:W3CDTF">2022-04-14T19:34:22Z</dcterms:modified>
</cp:coreProperties>
</file>